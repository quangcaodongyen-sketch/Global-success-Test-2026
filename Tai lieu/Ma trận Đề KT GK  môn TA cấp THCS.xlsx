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TÀI LIỆU GỬI ĐC THANH\BÀI KT GIỮA KỲ1.  ANH 8- TRAC NGHIEM\"/>
    </mc:Choice>
  </mc:AlternateContent>
  <xr:revisionPtr revIDLastSave="0" documentId="13_ncr:1_{34B792EE-6D71-4250-B6DE-43A6794A277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Ma trận G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6" i="1"/>
  <c r="L15" i="1"/>
  <c r="L16" i="1" s="1"/>
  <c r="K15" i="1"/>
  <c r="K16" i="1" s="1"/>
  <c r="J15" i="1"/>
  <c r="J16" i="1" s="1"/>
  <c r="I15" i="1"/>
  <c r="I16" i="1" s="1"/>
  <c r="H15" i="1"/>
  <c r="G15" i="1"/>
  <c r="F15" i="1"/>
  <c r="F16" i="1" s="1"/>
  <c r="E15" i="1"/>
  <c r="E16" i="1" s="1"/>
  <c r="D15" i="1"/>
  <c r="D16" i="1" s="1"/>
  <c r="O7" i="1"/>
  <c r="O8" i="1"/>
  <c r="O9" i="1"/>
  <c r="O10" i="1"/>
  <c r="O11" i="1"/>
  <c r="O12" i="1"/>
  <c r="O13" i="1"/>
  <c r="O14" i="1"/>
  <c r="N7" i="1"/>
  <c r="N8" i="1"/>
  <c r="N9" i="1"/>
  <c r="N10" i="1"/>
  <c r="N11" i="1"/>
  <c r="N12" i="1"/>
  <c r="N13" i="1"/>
  <c r="N14" i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O6" i="1"/>
  <c r="N6" i="1"/>
  <c r="M6" i="1"/>
  <c r="P6" i="1" s="1"/>
  <c r="N16" i="1" l="1"/>
  <c r="N17" i="1" s="1"/>
  <c r="J17" i="1"/>
  <c r="P17" i="1"/>
  <c r="G17" i="1"/>
  <c r="O16" i="1"/>
  <c r="O17" i="1" s="1"/>
  <c r="M16" i="1"/>
  <c r="M17" i="1" s="1"/>
  <c r="D17" i="1"/>
</calcChain>
</file>

<file path=xl/sharedStrings.xml><?xml version="1.0" encoding="utf-8"?>
<sst xmlns="http://schemas.openxmlformats.org/spreadsheetml/2006/main" count="38" uniqueCount="29">
  <si>
    <t>MA TRẬN ĐỀ KIỂM TRA GIỮA KÌ  – 36 Qs x 0.25 + 1 viết = 10 điểm</t>
  </si>
  <si>
    <t>TT</t>
  </si>
  <si>
    <t>Nội dung/đơn vị kiến thức</t>
  </si>
  <si>
    <r>
      <t>M</t>
    </r>
    <r>
      <rPr>
        <b/>
        <sz val="12"/>
        <color rgb="FF000000"/>
        <rFont val="Times New Roman"/>
        <family val="1"/>
      </rPr>
      <t>ức độ đánh giá</t>
    </r>
  </si>
  <si>
    <t>Tổng</t>
  </si>
  <si>
    <t>TNKQ nhiều lựa chọn</t>
  </si>
  <si>
    <t>TNKQ đúng - sai</t>
  </si>
  <si>
    <t>Tự luận</t>
  </si>
  <si>
    <t>Biết</t>
  </si>
  <si>
    <t>Hiểu</t>
  </si>
  <si>
    <t>VD</t>
  </si>
  <si>
    <t>Nghe hiểu 1: Nghe và trả lời câu hỏi đúng/sai</t>
  </si>
  <si>
    <t>Nghe hiểu 2: Nghe và chọn đáp án đúng (3 hoặc 4 lựa chọn)</t>
  </si>
  <si>
    <t xml:space="preserve">Đọc hiểu- 25% </t>
  </si>
  <si>
    <t>Đọc hiểu 1: Bài đọc điền từ vào chỗ trống trong bài văn (MCQs)</t>
  </si>
  <si>
    <t xml:space="preserve">Đọc hiểu 2: Đọc và trả lời câu hỏi liên quan đến nội dung bài đọc </t>
  </si>
  <si>
    <t>Kiến thức ngôn ngữ - 30%</t>
  </si>
  <si>
    <t>Kiến thức ngôn ngữ 1: Tình huống giao tiếp</t>
  </si>
  <si>
    <t>Kiến thức ngôn ngữ 2: Từ vựng</t>
  </si>
  <si>
    <t>Kiến thức ngôn ngữ 3: Ngữ pháp</t>
  </si>
  <si>
    <t>Viết- 20%</t>
  </si>
  <si>
    <t>Viết 2: Viết đoạn văn/bài văn</t>
  </si>
  <si>
    <t>Tổng số câu</t>
  </si>
  <si>
    <t>Tổng số điểm</t>
  </si>
  <si>
    <t>Tỉ lệ %</t>
  </si>
  <si>
    <t>Chương/ chủ đề</t>
  </si>
  <si>
    <t>Tỉ lệ % điểm</t>
  </si>
  <si>
    <t xml:space="preserve">Nghe hiểu 25% </t>
  </si>
  <si>
    <t>Viết 1: Sắp xếp và chọn đoạn văn/ câu/ chuyển đổi câu / kết hợp câu…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</si>
</sst>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8"/>
  <sheetViews>
    <sheetView tabSelected="1" topLeftCell="A3" zoomScaleNormal="100" workbookViewId="0">
      <selection activeCell="O7" sqref="O7"/>
    </sheetView>
  </sheetViews>
  <sheetFormatPr defaultRowHeight="14.6" x14ac:dyDescent="0.4"/>
  <cols>
    <col min="1" max="1" width="6.3046875" customWidth="1"/>
    <col min="2" max="2" width="10.69140625" style="9" customWidth="1"/>
    <col min="3" max="3" width="21.3046875" customWidth="1"/>
    <col min="4" max="15" width="7" customWidth="1"/>
    <col min="16" max="16" width="7.4609375" customWidth="1"/>
  </cols>
  <sheetData>
    <row r="2" spans="1:16" ht="17.600000000000001" x14ac:dyDescent="0.4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3.15" customHeight="1" x14ac:dyDescent="0.4">
      <c r="A3" s="10" t="s">
        <v>1</v>
      </c>
      <c r="B3" s="16" t="s">
        <v>25</v>
      </c>
      <c r="C3" s="10" t="s">
        <v>2</v>
      </c>
      <c r="D3" s="20" t="s">
        <v>3</v>
      </c>
      <c r="E3" s="20"/>
      <c r="F3" s="20"/>
      <c r="G3" s="20"/>
      <c r="H3" s="20"/>
      <c r="I3" s="20"/>
      <c r="J3" s="20"/>
      <c r="K3" s="20"/>
      <c r="L3" s="20"/>
      <c r="M3" s="10" t="s">
        <v>4</v>
      </c>
      <c r="N3" s="10"/>
      <c r="O3" s="10"/>
      <c r="P3" s="16" t="s">
        <v>26</v>
      </c>
    </row>
    <row r="4" spans="1:16" ht="33.450000000000003" customHeight="1" x14ac:dyDescent="0.4">
      <c r="A4" s="10"/>
      <c r="B4" s="17"/>
      <c r="C4" s="10"/>
      <c r="D4" s="10" t="s">
        <v>5</v>
      </c>
      <c r="E4" s="10"/>
      <c r="F4" s="10"/>
      <c r="G4" s="10" t="s">
        <v>6</v>
      </c>
      <c r="H4" s="10"/>
      <c r="I4" s="10"/>
      <c r="J4" s="10" t="s">
        <v>7</v>
      </c>
      <c r="K4" s="10"/>
      <c r="L4" s="10"/>
      <c r="M4" s="10"/>
      <c r="N4" s="10"/>
      <c r="O4" s="10"/>
      <c r="P4" s="18"/>
    </row>
    <row r="5" spans="1:16" ht="23.15" customHeight="1" x14ac:dyDescent="0.4">
      <c r="A5" s="10"/>
      <c r="B5" s="18"/>
      <c r="C5" s="10"/>
      <c r="D5" s="1" t="s">
        <v>8</v>
      </c>
      <c r="E5" s="1" t="s">
        <v>9</v>
      </c>
      <c r="F5" s="1" t="s">
        <v>10</v>
      </c>
      <c r="G5" s="1" t="s">
        <v>8</v>
      </c>
      <c r="H5" s="1" t="s">
        <v>9</v>
      </c>
      <c r="I5" s="1" t="s">
        <v>10</v>
      </c>
      <c r="J5" s="1" t="s">
        <v>8</v>
      </c>
      <c r="K5" s="1" t="s">
        <v>9</v>
      </c>
      <c r="L5" s="1" t="s">
        <v>10</v>
      </c>
      <c r="M5" s="1" t="s">
        <v>8</v>
      </c>
      <c r="N5" s="1" t="s">
        <v>9</v>
      </c>
      <c r="O5" s="1" t="s">
        <v>10</v>
      </c>
      <c r="P5" s="2"/>
    </row>
    <row r="6" spans="1:16" ht="38.15" customHeight="1" x14ac:dyDescent="0.4">
      <c r="A6" s="19">
        <v>1</v>
      </c>
      <c r="B6" s="16" t="s">
        <v>27</v>
      </c>
      <c r="C6" s="4" t="s">
        <v>11</v>
      </c>
      <c r="D6" s="3"/>
      <c r="E6" s="3"/>
      <c r="F6" s="3"/>
      <c r="G6" s="3">
        <v>3</v>
      </c>
      <c r="H6" s="3">
        <v>2</v>
      </c>
      <c r="I6" s="3"/>
      <c r="J6" s="3"/>
      <c r="K6" s="3"/>
      <c r="L6" s="3"/>
      <c r="M6" s="3">
        <f>D6+G6+J6</f>
        <v>3</v>
      </c>
      <c r="N6" s="3">
        <f>E6+H6+K6</f>
        <v>2</v>
      </c>
      <c r="O6" s="3">
        <f>F6+I6+L6</f>
        <v>0</v>
      </c>
      <c r="P6" s="7">
        <f>SUM(M6:O6)*0.25/10</f>
        <v>0.125</v>
      </c>
    </row>
    <row r="7" spans="1:16" ht="52" customHeight="1" x14ac:dyDescent="0.4">
      <c r="A7" s="19"/>
      <c r="B7" s="18"/>
      <c r="C7" s="4" t="s">
        <v>12</v>
      </c>
      <c r="D7" s="3">
        <v>2</v>
      </c>
      <c r="E7" s="3">
        <v>2</v>
      </c>
      <c r="F7" s="3">
        <v>1</v>
      </c>
      <c r="G7" s="3"/>
      <c r="H7" s="3"/>
      <c r="I7" s="3"/>
      <c r="J7" s="3"/>
      <c r="K7" s="3"/>
      <c r="L7" s="3"/>
      <c r="M7" s="3">
        <f t="shared" ref="M7:M14" si="0">D7+G7+J7</f>
        <v>2</v>
      </c>
      <c r="N7" s="3">
        <f t="shared" ref="N7:N14" si="1">E7+H7+K7</f>
        <v>2</v>
      </c>
      <c r="O7" s="3">
        <f t="shared" ref="O7:O14" si="2">F7+I7+L7</f>
        <v>1</v>
      </c>
      <c r="P7" s="7">
        <f t="shared" ref="P7:P13" si="3">SUM(M7:O7)*0.25/10</f>
        <v>0.125</v>
      </c>
    </row>
    <row r="8" spans="1:16" ht="52" customHeight="1" x14ac:dyDescent="0.4">
      <c r="A8" s="19">
        <v>2</v>
      </c>
      <c r="B8" s="10" t="s">
        <v>13</v>
      </c>
      <c r="C8" s="4" t="s">
        <v>14</v>
      </c>
      <c r="D8" s="3">
        <v>3</v>
      </c>
      <c r="E8" s="3">
        <v>1</v>
      </c>
      <c r="F8" s="3">
        <v>1</v>
      </c>
      <c r="G8" s="3"/>
      <c r="H8" s="3"/>
      <c r="I8" s="3"/>
      <c r="J8" s="3"/>
      <c r="K8" s="3"/>
      <c r="L8" s="3"/>
      <c r="M8" s="3">
        <f t="shared" si="0"/>
        <v>3</v>
      </c>
      <c r="N8" s="3">
        <f t="shared" si="1"/>
        <v>1</v>
      </c>
      <c r="O8" s="3">
        <f t="shared" si="2"/>
        <v>1</v>
      </c>
      <c r="P8" s="7">
        <f t="shared" si="3"/>
        <v>0.125</v>
      </c>
    </row>
    <row r="9" spans="1:16" ht="63.75" customHeight="1" x14ac:dyDescent="0.4">
      <c r="A9" s="19"/>
      <c r="B9" s="10"/>
      <c r="C9" s="4" t="s">
        <v>15</v>
      </c>
      <c r="D9" s="3">
        <v>2</v>
      </c>
      <c r="E9" s="3">
        <v>2</v>
      </c>
      <c r="F9" s="3">
        <v>1</v>
      </c>
      <c r="G9" s="3"/>
      <c r="H9" s="3"/>
      <c r="I9" s="3"/>
      <c r="J9" s="3"/>
      <c r="K9" s="3"/>
      <c r="L9" s="3"/>
      <c r="M9" s="3">
        <f t="shared" si="0"/>
        <v>2</v>
      </c>
      <c r="N9" s="3">
        <f t="shared" si="1"/>
        <v>2</v>
      </c>
      <c r="O9" s="3">
        <f t="shared" si="2"/>
        <v>1</v>
      </c>
      <c r="P9" s="7">
        <f t="shared" si="3"/>
        <v>0.125</v>
      </c>
    </row>
    <row r="10" spans="1:16" ht="45" customHeight="1" x14ac:dyDescent="0.4">
      <c r="A10" s="19">
        <v>3</v>
      </c>
      <c r="B10" s="10" t="s">
        <v>16</v>
      </c>
      <c r="C10" s="4" t="s">
        <v>17</v>
      </c>
      <c r="D10" s="3">
        <v>2</v>
      </c>
      <c r="E10" s="3"/>
      <c r="F10" s="3"/>
      <c r="G10" s="3"/>
      <c r="H10" s="3"/>
      <c r="I10" s="3"/>
      <c r="J10" s="3"/>
      <c r="K10" s="3"/>
      <c r="L10" s="3"/>
      <c r="M10" s="3">
        <f t="shared" si="0"/>
        <v>2</v>
      </c>
      <c r="N10" s="3">
        <f t="shared" si="1"/>
        <v>0</v>
      </c>
      <c r="O10" s="3">
        <f t="shared" si="2"/>
        <v>0</v>
      </c>
      <c r="P10" s="7">
        <f t="shared" si="3"/>
        <v>0.05</v>
      </c>
    </row>
    <row r="11" spans="1:16" ht="35.15" customHeight="1" x14ac:dyDescent="0.4">
      <c r="A11" s="19"/>
      <c r="B11" s="10"/>
      <c r="C11" s="4" t="s">
        <v>18</v>
      </c>
      <c r="D11" s="3"/>
      <c r="E11" s="3">
        <v>2</v>
      </c>
      <c r="F11" s="3">
        <v>3</v>
      </c>
      <c r="G11" s="3"/>
      <c r="H11" s="3"/>
      <c r="I11" s="3"/>
      <c r="J11" s="3"/>
      <c r="K11" s="3"/>
      <c r="L11" s="3"/>
      <c r="M11" s="3">
        <f t="shared" si="0"/>
        <v>0</v>
      </c>
      <c r="N11" s="3">
        <f t="shared" si="1"/>
        <v>2</v>
      </c>
      <c r="O11" s="3">
        <f t="shared" si="2"/>
        <v>3</v>
      </c>
      <c r="P11" s="7">
        <f t="shared" si="3"/>
        <v>0.125</v>
      </c>
    </row>
    <row r="12" spans="1:16" ht="35.700000000000003" customHeight="1" x14ac:dyDescent="0.4">
      <c r="A12" s="19"/>
      <c r="B12" s="10"/>
      <c r="C12" s="4" t="s">
        <v>19</v>
      </c>
      <c r="D12" s="3">
        <v>4</v>
      </c>
      <c r="E12" s="3">
        <v>1</v>
      </c>
      <c r="F12" s="3"/>
      <c r="G12" s="3"/>
      <c r="H12" s="3"/>
      <c r="I12" s="3"/>
      <c r="J12" s="3"/>
      <c r="K12" s="3"/>
      <c r="L12" s="3"/>
      <c r="M12" s="3">
        <f t="shared" si="0"/>
        <v>4</v>
      </c>
      <c r="N12" s="3">
        <f t="shared" si="1"/>
        <v>1</v>
      </c>
      <c r="O12" s="3">
        <f t="shared" si="2"/>
        <v>0</v>
      </c>
      <c r="P12" s="7">
        <f t="shared" si="3"/>
        <v>0.125</v>
      </c>
    </row>
    <row r="13" spans="1:16" ht="59.6" customHeight="1" x14ac:dyDescent="0.4">
      <c r="A13" s="19">
        <v>4</v>
      </c>
      <c r="B13" s="10" t="s">
        <v>20</v>
      </c>
      <c r="C13" s="4" t="s">
        <v>28</v>
      </c>
      <c r="D13" s="3"/>
      <c r="E13" s="3">
        <v>2</v>
      </c>
      <c r="F13" s="3">
        <v>2</v>
      </c>
      <c r="G13" s="3"/>
      <c r="H13" s="3"/>
      <c r="I13" s="3"/>
      <c r="J13" s="3"/>
      <c r="K13" s="3"/>
      <c r="L13" s="3"/>
      <c r="M13" s="3">
        <f t="shared" si="0"/>
        <v>0</v>
      </c>
      <c r="N13" s="3">
        <f t="shared" si="1"/>
        <v>2</v>
      </c>
      <c r="O13" s="3">
        <f t="shared" si="2"/>
        <v>2</v>
      </c>
      <c r="P13" s="7">
        <f t="shared" si="3"/>
        <v>0.1</v>
      </c>
    </row>
    <row r="14" spans="1:16" ht="36.450000000000003" customHeight="1" x14ac:dyDescent="0.4">
      <c r="A14" s="19"/>
      <c r="B14" s="10"/>
      <c r="C14" s="4" t="s">
        <v>21</v>
      </c>
      <c r="D14" s="3"/>
      <c r="E14" s="3"/>
      <c r="F14" s="3"/>
      <c r="G14" s="3"/>
      <c r="H14" s="3"/>
      <c r="I14" s="3"/>
      <c r="J14" s="3"/>
      <c r="K14" s="3"/>
      <c r="L14" s="3">
        <v>1</v>
      </c>
      <c r="M14" s="3">
        <f t="shared" si="0"/>
        <v>0</v>
      </c>
      <c r="N14" s="3">
        <f t="shared" si="1"/>
        <v>0</v>
      </c>
      <c r="O14" s="3">
        <f t="shared" si="2"/>
        <v>1</v>
      </c>
      <c r="P14" s="7">
        <f>SUM(M14:O14)*1/10</f>
        <v>0.1</v>
      </c>
    </row>
    <row r="15" spans="1:16" ht="22.4" customHeight="1" x14ac:dyDescent="0.4">
      <c r="A15" s="11" t="s">
        <v>22</v>
      </c>
      <c r="B15" s="11"/>
      <c r="C15" s="11"/>
      <c r="D15" s="3">
        <f t="shared" ref="D15:L15" si="4">SUM(D6:D14)</f>
        <v>13</v>
      </c>
      <c r="E15" s="3">
        <f t="shared" si="4"/>
        <v>10</v>
      </c>
      <c r="F15" s="3">
        <f t="shared" si="4"/>
        <v>8</v>
      </c>
      <c r="G15" s="3">
        <f t="shared" si="4"/>
        <v>3</v>
      </c>
      <c r="H15" s="3">
        <f t="shared" si="4"/>
        <v>2</v>
      </c>
      <c r="I15" s="3">
        <f t="shared" si="4"/>
        <v>0</v>
      </c>
      <c r="J15" s="3">
        <f t="shared" si="4"/>
        <v>0</v>
      </c>
      <c r="K15" s="3">
        <f t="shared" si="4"/>
        <v>0</v>
      </c>
      <c r="L15" s="3">
        <f t="shared" si="4"/>
        <v>1</v>
      </c>
      <c r="M15" s="3">
        <v>16</v>
      </c>
      <c r="N15" s="3">
        <v>12</v>
      </c>
      <c r="O15" s="3">
        <v>9</v>
      </c>
      <c r="P15" s="3"/>
    </row>
    <row r="16" spans="1:16" ht="22" customHeight="1" x14ac:dyDescent="0.4">
      <c r="A16" s="11" t="s">
        <v>23</v>
      </c>
      <c r="B16" s="11"/>
      <c r="C16" s="11"/>
      <c r="D16" s="3">
        <f>D15*0.25</f>
        <v>3.25</v>
      </c>
      <c r="E16" s="3">
        <f t="shared" ref="E16:J16" si="5">E15*0.25</f>
        <v>2.5</v>
      </c>
      <c r="F16" s="3">
        <f t="shared" si="5"/>
        <v>2</v>
      </c>
      <c r="G16" s="3">
        <f t="shared" si="5"/>
        <v>0.75</v>
      </c>
      <c r="H16" s="3">
        <f t="shared" si="5"/>
        <v>0.5</v>
      </c>
      <c r="I16" s="3">
        <f t="shared" si="5"/>
        <v>0</v>
      </c>
      <c r="J16" s="3">
        <f t="shared" si="5"/>
        <v>0</v>
      </c>
      <c r="K16" s="3">
        <f>K15*0.25</f>
        <v>0</v>
      </c>
      <c r="L16" s="3">
        <f>(L15-1)*0.25+1</f>
        <v>1</v>
      </c>
      <c r="M16" s="3">
        <f>D16+G16+J16</f>
        <v>4</v>
      </c>
      <c r="N16" s="3">
        <f>E16+H16+K16</f>
        <v>3</v>
      </c>
      <c r="O16" s="3">
        <f>F16+I16+L16</f>
        <v>3</v>
      </c>
      <c r="P16" s="3"/>
    </row>
    <row r="17" spans="1:16" ht="22" customHeight="1" x14ac:dyDescent="0.4">
      <c r="A17" s="12" t="s">
        <v>24</v>
      </c>
      <c r="B17" s="12"/>
      <c r="C17" s="12"/>
      <c r="D17" s="13">
        <f>SUM(D16:F16)/10</f>
        <v>0.77500000000000002</v>
      </c>
      <c r="E17" s="13"/>
      <c r="F17" s="13"/>
      <c r="G17" s="13">
        <f>SUM(G16:I16)/10</f>
        <v>0.125</v>
      </c>
      <c r="H17" s="13"/>
      <c r="I17" s="13"/>
      <c r="J17" s="14">
        <f>SUM(J16:L16)/10</f>
        <v>0.1</v>
      </c>
      <c r="K17" s="14"/>
      <c r="L17" s="14"/>
      <c r="M17" s="5">
        <f>M16/10</f>
        <v>0.4</v>
      </c>
      <c r="N17" s="5">
        <f>N16/10</f>
        <v>0.3</v>
      </c>
      <c r="O17" s="5">
        <f>O16/10</f>
        <v>0.3</v>
      </c>
      <c r="P17" s="6">
        <f>SUM(P6:P14)</f>
        <v>1</v>
      </c>
    </row>
    <row r="18" spans="1:16" x14ac:dyDescent="0.4">
      <c r="P18" s="8"/>
    </row>
  </sheetData>
  <mergeCells count="24">
    <mergeCell ref="A2:P2"/>
    <mergeCell ref="B3:B5"/>
    <mergeCell ref="B6:B7"/>
    <mergeCell ref="P3:P4"/>
    <mergeCell ref="A15:C15"/>
    <mergeCell ref="A6:A7"/>
    <mergeCell ref="A8:A9"/>
    <mergeCell ref="B8:B9"/>
    <mergeCell ref="A10:A12"/>
    <mergeCell ref="B10:B12"/>
    <mergeCell ref="A13:A14"/>
    <mergeCell ref="B13:B14"/>
    <mergeCell ref="A3:A5"/>
    <mergeCell ref="C3:C5"/>
    <mergeCell ref="D3:L3"/>
    <mergeCell ref="M3:O4"/>
    <mergeCell ref="D4:F4"/>
    <mergeCell ref="G4:I4"/>
    <mergeCell ref="J4:L4"/>
    <mergeCell ref="A16:C16"/>
    <mergeCell ref="A17:C17"/>
    <mergeCell ref="D17:F17"/>
    <mergeCell ref="G17:I17"/>
    <mergeCell ref="J17:L1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trận GK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2025-03-20T13:33:16Z</cp:lastPrinted>
  <dcterms:created xsi:type="dcterms:W3CDTF">2015-06-05T18:17:20Z</dcterms:created>
  <dcterms:modified xsi:type="dcterms:W3CDTF">2026-08-02T14:12:15Z</dcterms:modified>
</cp:coreProperties>
</file>